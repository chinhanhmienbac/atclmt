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  <sheet name="CNMB" sheetId="2" r:id="rId2"/>
    <sheet name="TKMB" sheetId="3" r:id="rId3"/>
    <sheet name="TKHP" sheetId="4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G21" i="1"/>
  <c r="F21" i="1"/>
  <c r="E21" i="1"/>
  <c r="D21" i="1"/>
  <c r="C21" i="1"/>
  <c r="H20" i="1"/>
  <c r="G20" i="1"/>
  <c r="F20" i="1"/>
  <c r="E20" i="1"/>
  <c r="D20" i="1"/>
  <c r="C20" i="1"/>
  <c r="H19" i="1"/>
  <c r="G19" i="1"/>
  <c r="F19" i="1"/>
  <c r="E19" i="1"/>
  <c r="D19" i="1"/>
  <c r="C19" i="1"/>
  <c r="H18" i="1"/>
  <c r="G18" i="1"/>
  <c r="F18" i="1"/>
  <c r="E18" i="1"/>
  <c r="D18" i="1"/>
  <c r="C18" i="1"/>
  <c r="H17" i="1"/>
  <c r="G17" i="1"/>
  <c r="F17" i="1"/>
  <c r="E17" i="1"/>
  <c r="D17" i="1"/>
  <c r="H13" i="1"/>
  <c r="G13" i="1"/>
  <c r="F13" i="1"/>
  <c r="E13" i="1"/>
  <c r="D13" i="1"/>
  <c r="C13" i="1"/>
  <c r="H12" i="1"/>
  <c r="G12" i="1"/>
  <c r="F12" i="1"/>
  <c r="E12" i="1"/>
  <c r="D12" i="1"/>
  <c r="C12" i="1"/>
  <c r="H37" i="1" l="1"/>
  <c r="I37" i="1" s="1"/>
  <c r="G37" i="1"/>
  <c r="F37" i="1"/>
  <c r="E37" i="1"/>
  <c r="D37" i="1"/>
  <c r="C37" i="1"/>
  <c r="I36" i="1"/>
  <c r="H36" i="1"/>
  <c r="G36" i="1"/>
  <c r="F36" i="1"/>
  <c r="E36" i="1"/>
  <c r="D36" i="1"/>
  <c r="C36" i="1"/>
  <c r="H35" i="1"/>
  <c r="I35" i="1" s="1"/>
  <c r="G35" i="1"/>
  <c r="F35" i="1"/>
  <c r="E35" i="1"/>
  <c r="D35" i="1"/>
  <c r="C35" i="1"/>
  <c r="H34" i="1"/>
  <c r="I34" i="1" s="1"/>
  <c r="G34" i="1"/>
  <c r="G33" i="1" s="1"/>
  <c r="F34" i="1"/>
  <c r="E34" i="1"/>
  <c r="D34" i="1"/>
  <c r="D33" i="1" s="1"/>
  <c r="C34" i="1"/>
  <c r="C33" i="1" s="1"/>
  <c r="F33" i="1"/>
  <c r="E33" i="1"/>
  <c r="I32" i="1"/>
  <c r="H32" i="1"/>
  <c r="G32" i="1"/>
  <c r="F32" i="1"/>
  <c r="E32" i="1"/>
  <c r="D32" i="1"/>
  <c r="C32" i="1"/>
  <c r="H31" i="1"/>
  <c r="I31" i="1" s="1"/>
  <c r="G31" i="1"/>
  <c r="F31" i="1"/>
  <c r="E31" i="1"/>
  <c r="D31" i="1"/>
  <c r="C31" i="1"/>
  <c r="H30" i="1"/>
  <c r="I30" i="1" s="1"/>
  <c r="G30" i="1"/>
  <c r="F30" i="1"/>
  <c r="E30" i="1"/>
  <c r="D30" i="1"/>
  <c r="C30" i="1"/>
  <c r="H29" i="1"/>
  <c r="G29" i="1"/>
  <c r="F29" i="1"/>
  <c r="E29" i="1"/>
  <c r="D29" i="1"/>
  <c r="C29" i="1"/>
  <c r="I29" i="1" s="1"/>
  <c r="I28" i="1"/>
  <c r="H28" i="1"/>
  <c r="G28" i="1"/>
  <c r="F28" i="1"/>
  <c r="E28" i="1"/>
  <c r="D28" i="1"/>
  <c r="C28" i="1"/>
  <c r="H27" i="1"/>
  <c r="I27" i="1" s="1"/>
  <c r="G27" i="1"/>
  <c r="F27" i="1"/>
  <c r="E27" i="1"/>
  <c r="E26" i="1" s="1"/>
  <c r="D27" i="1"/>
  <c r="D26" i="1" s="1"/>
  <c r="C27" i="1"/>
  <c r="G26" i="1"/>
  <c r="F26" i="1"/>
  <c r="C26" i="1"/>
  <c r="H25" i="1"/>
  <c r="G25" i="1"/>
  <c r="F25" i="1"/>
  <c r="E25" i="1"/>
  <c r="D25" i="1"/>
  <c r="C25" i="1"/>
  <c r="I25" i="1" s="1"/>
  <c r="I24" i="1"/>
  <c r="H24" i="1"/>
  <c r="G24" i="1"/>
  <c r="F24" i="1"/>
  <c r="E24" i="1"/>
  <c r="D24" i="1"/>
  <c r="C24" i="1"/>
  <c r="H23" i="1"/>
  <c r="I23" i="1" s="1"/>
  <c r="G23" i="1"/>
  <c r="F23" i="1"/>
  <c r="E23" i="1"/>
  <c r="E22" i="1" s="1"/>
  <c r="D23" i="1"/>
  <c r="D22" i="1" s="1"/>
  <c r="C23" i="1"/>
  <c r="G22" i="1"/>
  <c r="F22" i="1"/>
  <c r="C22" i="1"/>
  <c r="I21" i="1"/>
  <c r="I20" i="1"/>
  <c r="I19" i="1"/>
  <c r="I18" i="1"/>
  <c r="I17" i="1"/>
  <c r="G16" i="1"/>
  <c r="F16" i="1"/>
  <c r="D16" i="1"/>
  <c r="C16" i="1"/>
  <c r="E16" i="1"/>
  <c r="I13" i="1"/>
  <c r="I12" i="1"/>
  <c r="G11" i="1"/>
  <c r="E11" i="1"/>
  <c r="D11" i="1"/>
  <c r="C11" i="1"/>
  <c r="F11" i="1"/>
  <c r="F9" i="1" l="1"/>
  <c r="E9" i="1"/>
  <c r="C9" i="1"/>
  <c r="G9" i="1"/>
  <c r="D9" i="1"/>
  <c r="H11" i="1"/>
  <c r="I11" i="1" s="1"/>
  <c r="H33" i="1"/>
  <c r="I33" i="1" s="1"/>
  <c r="H22" i="1"/>
  <c r="I22" i="1" s="1"/>
  <c r="H26" i="1"/>
  <c r="I26" i="1" s="1"/>
  <c r="H16" i="1"/>
  <c r="H9" i="1" l="1"/>
  <c r="I9" i="1" s="1"/>
  <c r="I16" i="1"/>
</calcChain>
</file>

<file path=xl/sharedStrings.xml><?xml version="1.0" encoding="utf-8"?>
<sst xmlns="http://schemas.openxmlformats.org/spreadsheetml/2006/main" count="48" uniqueCount="48">
  <si>
    <t>TỔNG CÔNG TY KHÍ VIỆT NAM - CTCP</t>
  </si>
  <si>
    <t>CÔNG TY CỔ PHẦN KINH DOANH LPG VIỆT NAM</t>
  </si>
  <si>
    <t>BẢNG TỔNG HỢP THỰC HIỆN KẾ HOẠCH AN TOÀN - CHẤT LƯỢNG - MÔI TRƯỜNG NĂM 2026</t>
  </si>
  <si>
    <t>KHÔNG ĐIỀN VÀO SHEET NÀY
CÁC CHI NHÁNH ĐIÈN VÀO TỪNG SHEET CỦA MÌNH</t>
  </si>
  <si>
    <t>STT</t>
  </si>
  <si>
    <t>Tên đơn vị</t>
  </si>
  <si>
    <t>Kế hoạch năm 2026</t>
  </si>
  <si>
    <t>Quý I</t>
  </si>
  <si>
    <t>Quý II</t>
  </si>
  <si>
    <t>Quý III</t>
  </si>
  <si>
    <t>Quý IV</t>
  </si>
  <si>
    <t>Lũy kế</t>
  </si>
  <si>
    <t>Tỉ lệ thực hiện</t>
  </si>
  <si>
    <t>TỔNG</t>
  </si>
  <si>
    <t>I</t>
  </si>
  <si>
    <t>Phòng ATCL</t>
  </si>
  <si>
    <t>II</t>
  </si>
  <si>
    <t>Các Tổng kho LPG</t>
  </si>
  <si>
    <t>Tổng kho LPG Miền Bắc</t>
  </si>
  <si>
    <t>Tổng kho LPG Hải Phòng</t>
  </si>
  <si>
    <t>Tổng kho LPG Bắc Trung Bộ</t>
  </si>
  <si>
    <t>Tổng kho SPDK Đà Nẵng</t>
  </si>
  <si>
    <t>III</t>
  </si>
  <si>
    <t>Chi nhánh Miền Bắc</t>
  </si>
  <si>
    <t>Văn phòng Hà Nội</t>
  </si>
  <si>
    <t>Trạm nạp LPG Hà Nội</t>
  </si>
  <si>
    <t>Văn phòng Nam Định</t>
  </si>
  <si>
    <t>Trạm nạp LPG Nam Định</t>
  </si>
  <si>
    <t>Trung tâm SSKĐ Nam Định</t>
  </si>
  <si>
    <t>IV</t>
  </si>
  <si>
    <t>Chi nhánh Tây Bắc</t>
  </si>
  <si>
    <t>Văn phòng Chi nhánh</t>
  </si>
  <si>
    <t>Trạm nạp LPG Phú Thọ</t>
  </si>
  <si>
    <t>Trạm nạp LPG Thái Nguyên</t>
  </si>
  <si>
    <t>V</t>
  </si>
  <si>
    <t>Chi nhánh Miền Trung</t>
  </si>
  <si>
    <t>Trạm nạp LPG Đà Nẵng</t>
  </si>
  <si>
    <t>Trung tâm SSKĐ Đà Nẵng</t>
  </si>
  <si>
    <t>Chi nhánh Huế</t>
  </si>
  <si>
    <t>Chi nhánh Quảng Bình</t>
  </si>
  <si>
    <t>Trạm nạp LPG Hà Tĩnh</t>
  </si>
  <si>
    <t>Trung tâm SSKĐ Hà Tĩnh</t>
  </si>
  <si>
    <t>VI</t>
  </si>
  <si>
    <t>Chi nhánh Miền Nam</t>
  </si>
  <si>
    <t>Văn phòng Chi nhánh Miền Nam</t>
  </si>
  <si>
    <t>Trạm nạp LPG Bà Rịa Vũng Tàu</t>
  </si>
  <si>
    <t>Trạm nạp LPG Nha Trang</t>
  </si>
  <si>
    <t>Kho LPG Dung Quất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</si>
</sst>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3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</font>
    <font>
      <sz val="12"/>
      <color theme="1"/>
      <name val="Times New Roman"/>
    </font>
    <font>
      <b/>
      <sz val="12"/>
      <color theme="1"/>
      <name val="Times New Roman"/>
    </font>
    <font>
      <b/>
      <sz val="14"/>
      <color theme="1"/>
      <name val="Times New Roman"/>
    </font>
    <font>
      <b/>
      <sz val="17"/>
      <color theme="1"/>
      <name val="Times New Roman"/>
    </font>
    <font>
      <sz val="11"/>
      <name val="Calibri"/>
    </font>
    <font>
      <b/>
      <sz val="13"/>
      <color theme="1"/>
      <name val="Times New Roman"/>
    </font>
    <font>
      <b/>
      <sz val="13"/>
      <color rgb="FF000000"/>
      <name val="Times New Roman"/>
    </font>
    <font>
      <sz val="13"/>
      <color theme="1"/>
      <name val="Times New Roman"/>
    </font>
    <font>
      <i/>
      <sz val="11"/>
      <color theme="1"/>
      <name val="Times New Roman"/>
    </font>
    <font>
      <i/>
      <sz val="13"/>
      <color theme="1"/>
      <name val="Times New Roman"/>
    </font>
  </fonts>
  <fills count="8">
    <fill>
      <patternFill patternType="none"/>
    </fill>
    <fill>
      <patternFill patternType="gray125"/>
    </fill>
    <fill>
      <patternFill patternType="solid">
        <fgColor rgb="FFA4C2F4"/>
        <bgColor rgb="FFA4C2F4"/>
      </patternFill>
    </fill>
    <fill>
      <patternFill patternType="solid">
        <fgColor rgb="FFB4C6E7"/>
        <bgColor rgb="FFB4C6E7"/>
      </patternFill>
    </fill>
    <fill>
      <patternFill patternType="solid">
        <fgColor rgb="FFFEF2CB"/>
        <bgColor rgb="FFFEF2CB"/>
      </patternFill>
    </fill>
    <fill>
      <patternFill patternType="solid">
        <fgColor rgb="FFFFD965"/>
        <bgColor rgb="FFFFD965"/>
      </patternFill>
    </fill>
    <fill>
      <patternFill patternType="solid">
        <fgColor rgb="FFFFF2CC"/>
        <bgColor rgb="FFFFF2CC"/>
      </patternFill>
    </fill>
    <fill>
      <patternFill patternType="solid">
        <fgColor rgb="FFE2EFD9"/>
        <bgColor rgb="FFE2EFD9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/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000000"/>
      </left>
      <right/>
      <top style="hair">
        <color rgb="FF000000"/>
      </top>
      <bottom style="hair">
        <color rgb="FF000000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41">
    <xf numFmtId="0" fontId="0" fillId="0" borderId="0" xfId="0"/>
    <xf numFmtId="0" fontId="2" fillId="0" borderId="0" xfId="1" applyFont="1"/>
    <xf numFmtId="0" fontId="3" fillId="0" borderId="0" xfId="1" applyFont="1" applyAlignment="1">
      <alignment horizontal="center"/>
    </xf>
    <xf numFmtId="0" fontId="1" fillId="0" borderId="0" xfId="1" applyFont="1" applyAlignment="1"/>
    <xf numFmtId="0" fontId="4" fillId="0" borderId="0" xfId="1" applyFont="1" applyAlignment="1">
      <alignment horizontal="center"/>
    </xf>
    <xf numFmtId="0" fontId="8" fillId="0" borderId="1" xfId="1" applyFont="1" applyBorder="1" applyAlignment="1">
      <alignment horizontal="center" vertical="center"/>
    </xf>
    <xf numFmtId="0" fontId="4" fillId="3" borderId="1" xfId="1" applyFont="1" applyFill="1" applyBorder="1" applyAlignment="1">
      <alignment horizontal="center" vertical="center" wrapText="1"/>
    </xf>
    <xf numFmtId="49" fontId="4" fillId="4" borderId="1" xfId="1" applyNumberFormat="1" applyFont="1" applyFill="1" applyBorder="1" applyAlignment="1">
      <alignment horizontal="center" vertical="center" wrapText="1"/>
    </xf>
    <xf numFmtId="49" fontId="4" fillId="4" borderId="2" xfId="1" applyNumberFormat="1" applyFont="1" applyFill="1" applyBorder="1" applyAlignment="1">
      <alignment horizontal="center" vertical="center" wrapText="1"/>
    </xf>
    <xf numFmtId="49" fontId="4" fillId="4" borderId="3" xfId="1" applyNumberFormat="1" applyFont="1" applyFill="1" applyBorder="1" applyAlignment="1">
      <alignment horizontal="center" vertical="center" wrapText="1"/>
    </xf>
    <xf numFmtId="0" fontId="8" fillId="5" borderId="4" xfId="1" applyFont="1" applyFill="1" applyBorder="1" applyAlignment="1">
      <alignment horizontal="center" vertical="center"/>
    </xf>
    <xf numFmtId="3" fontId="8" fillId="5" borderId="4" xfId="1" applyNumberFormat="1" applyFont="1" applyFill="1" applyBorder="1" applyAlignment="1">
      <alignment horizontal="right" vertical="center"/>
    </xf>
    <xf numFmtId="3" fontId="8" fillId="5" borderId="5" xfId="1" applyNumberFormat="1" applyFont="1" applyFill="1" applyBorder="1" applyAlignment="1">
      <alignment horizontal="right" vertical="center"/>
    </xf>
    <xf numFmtId="10" fontId="8" fillId="5" borderId="4" xfId="1" applyNumberFormat="1" applyFont="1" applyFill="1" applyBorder="1" applyAlignment="1">
      <alignment horizontal="right" vertical="center"/>
    </xf>
    <xf numFmtId="0" fontId="8" fillId="6" borderId="6" xfId="1" applyFont="1" applyFill="1" applyBorder="1" applyAlignment="1">
      <alignment horizontal="center" vertical="center"/>
    </xf>
    <xf numFmtId="0" fontId="8" fillId="6" borderId="6" xfId="1" applyFont="1" applyFill="1" applyBorder="1" applyAlignment="1">
      <alignment vertical="center"/>
    </xf>
    <xf numFmtId="3" fontId="8" fillId="3" borderId="6" xfId="1" applyNumberFormat="1" applyFont="1" applyFill="1" applyBorder="1" applyAlignment="1">
      <alignment horizontal="right" vertical="center"/>
    </xf>
    <xf numFmtId="3" fontId="8" fillId="7" borderId="6" xfId="1" applyNumberFormat="1" applyFont="1" applyFill="1" applyBorder="1" applyAlignment="1">
      <alignment horizontal="right" vertical="center"/>
    </xf>
    <xf numFmtId="3" fontId="8" fillId="7" borderId="7" xfId="1" applyNumberFormat="1" applyFont="1" applyFill="1" applyBorder="1" applyAlignment="1">
      <alignment horizontal="right" vertical="center"/>
    </xf>
    <xf numFmtId="10" fontId="8" fillId="7" borderId="6" xfId="1" applyNumberFormat="1" applyFont="1" applyFill="1" applyBorder="1" applyAlignment="1">
      <alignment horizontal="right" vertical="center"/>
    </xf>
    <xf numFmtId="0" fontId="8" fillId="6" borderId="6" xfId="1" applyFont="1" applyFill="1" applyBorder="1" applyAlignment="1">
      <alignment horizontal="left" vertical="center"/>
    </xf>
    <xf numFmtId="3" fontId="9" fillId="3" borderId="6" xfId="1" applyNumberFormat="1" applyFont="1" applyFill="1" applyBorder="1" applyAlignment="1">
      <alignment horizontal="right" vertical="center"/>
    </xf>
    <xf numFmtId="3" fontId="9" fillId="7" borderId="6" xfId="1" applyNumberFormat="1" applyFont="1" applyFill="1" applyBorder="1" applyAlignment="1">
      <alignment horizontal="right" vertical="center"/>
    </xf>
    <xf numFmtId="3" fontId="9" fillId="7" borderId="7" xfId="1" applyNumberFormat="1" applyFont="1" applyFill="1" applyBorder="1" applyAlignment="1">
      <alignment horizontal="right" vertical="center"/>
    </xf>
    <xf numFmtId="10" fontId="9" fillId="7" borderId="6" xfId="1" applyNumberFormat="1" applyFont="1" applyFill="1" applyBorder="1" applyAlignment="1">
      <alignment horizontal="right" vertical="center"/>
    </xf>
    <xf numFmtId="0" fontId="10" fillId="6" borderId="6" xfId="1" applyFont="1" applyFill="1" applyBorder="1" applyAlignment="1">
      <alignment horizontal="center" vertical="center"/>
    </xf>
    <xf numFmtId="0" fontId="10" fillId="6" borderId="6" xfId="1" applyFont="1" applyFill="1" applyBorder="1" applyAlignment="1">
      <alignment vertical="center"/>
    </xf>
    <xf numFmtId="3" fontId="10" fillId="3" borderId="6" xfId="1" applyNumberFormat="1" applyFont="1" applyFill="1" applyBorder="1" applyAlignment="1">
      <alignment horizontal="right" vertical="center"/>
    </xf>
    <xf numFmtId="3" fontId="10" fillId="7" borderId="6" xfId="1" applyNumberFormat="1" applyFont="1" applyFill="1" applyBorder="1" applyAlignment="1">
      <alignment horizontal="right" vertical="center"/>
    </xf>
    <xf numFmtId="10" fontId="10" fillId="7" borderId="6" xfId="1" applyNumberFormat="1" applyFont="1" applyFill="1" applyBorder="1" applyAlignment="1">
      <alignment horizontal="right" vertical="center"/>
    </xf>
    <xf numFmtId="3" fontId="10" fillId="7" borderId="7" xfId="1" applyNumberFormat="1" applyFont="1" applyFill="1" applyBorder="1" applyAlignment="1">
      <alignment horizontal="right" vertical="center"/>
    </xf>
    <xf numFmtId="3" fontId="2" fillId="0" borderId="0" xfId="1" applyNumberFormat="1" applyFont="1"/>
    <xf numFmtId="0" fontId="10" fillId="6" borderId="6" xfId="1" applyFont="1" applyFill="1" applyBorder="1" applyAlignment="1">
      <alignment horizontal="left" vertical="center"/>
    </xf>
    <xf numFmtId="0" fontId="10" fillId="6" borderId="8" xfId="1" applyFont="1" applyFill="1" applyBorder="1" applyAlignment="1">
      <alignment horizontal="center" vertical="center"/>
    </xf>
    <xf numFmtId="0" fontId="10" fillId="6" borderId="8" xfId="1" applyFont="1" applyFill="1" applyBorder="1" applyAlignment="1">
      <alignment horizontal="left" vertical="center"/>
    </xf>
    <xf numFmtId="0" fontId="11" fillId="0" borderId="0" xfId="1" applyFont="1"/>
    <xf numFmtId="0" fontId="12" fillId="0" borderId="0" xfId="1" applyFont="1" applyAlignment="1">
      <alignment horizontal="left" vertical="center"/>
    </xf>
    <xf numFmtId="0" fontId="5" fillId="0" borderId="0" xfId="1" applyFont="1" applyAlignment="1">
      <alignment horizontal="center" vertical="center"/>
    </xf>
    <xf numFmtId="0" fontId="1" fillId="0" borderId="0" xfId="1" applyFont="1" applyAlignment="1"/>
    <xf numFmtId="0" fontId="6" fillId="2" borderId="0" xfId="1" applyFont="1" applyFill="1" applyBorder="1" applyAlignment="1">
      <alignment horizontal="center" vertical="center" wrapText="1"/>
    </xf>
    <xf numFmtId="0" fontId="7" fillId="0" borderId="0" xfId="1" applyFont="1" applyBorder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9525</xdr:rowOff>
    </xdr:from>
    <xdr:ext cx="609600" cy="619125"/>
    <xdr:pic>
      <xdr:nvPicPr>
        <xdr:cNvPr id="2" name="image1.jpg"/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9525"/>
          <a:ext cx="609600" cy="619125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72"/>
  <sheetViews>
    <sheetView tabSelected="1" topLeftCell="A10" workbookViewId="0">
      <selection activeCell="E14" sqref="E14"/>
    </sheetView>
  </sheetViews>
  <sheetFormatPr defaultColWidth="14.42578125" defaultRowHeight="15"/>
  <cols>
    <col min="1" max="1" width="9.85546875" style="3" customWidth="1"/>
    <col min="2" max="2" width="34.7109375" style="3" customWidth="1"/>
    <col min="3" max="3" width="19.7109375" style="3" customWidth="1"/>
    <col min="4" max="8" width="16.5703125" style="3" customWidth="1"/>
    <col min="9" max="16384" width="14.42578125" style="3"/>
  </cols>
  <sheetData>
    <row r="1" spans="1:9" ht="15" customHeight="1">
      <c r="A1" s="1"/>
      <c r="B1" s="2" t="s">
        <v>0</v>
      </c>
    </row>
    <row r="2" spans="1:9" ht="15" customHeight="1">
      <c r="A2" s="1"/>
      <c r="B2" s="4" t="s">
        <v>1</v>
      </c>
    </row>
    <row r="3" spans="1:9">
      <c r="A3" s="1"/>
      <c r="B3" s="1"/>
    </row>
    <row r="4" spans="1:9">
      <c r="A4" s="1"/>
      <c r="B4" s="1"/>
    </row>
    <row r="5" spans="1:9" ht="36.75" customHeight="1">
      <c r="A5" s="37" t="s">
        <v>2</v>
      </c>
      <c r="B5" s="38"/>
      <c r="C5" s="38"/>
      <c r="D5" s="38"/>
      <c r="E5" s="38"/>
      <c r="F5" s="38"/>
      <c r="G5" s="38"/>
      <c r="H5" s="38"/>
    </row>
    <row r="6" spans="1:9" ht="57.75" customHeight="1">
      <c r="A6" s="1"/>
      <c r="B6" s="1"/>
      <c r="C6" s="39" t="s">
        <v>3</v>
      </c>
      <c r="D6" s="40"/>
      <c r="E6" s="40"/>
      <c r="F6" s="40"/>
      <c r="G6" s="40"/>
      <c r="H6" s="40"/>
    </row>
    <row r="7" spans="1:9" ht="14.25" customHeight="1">
      <c r="A7" s="1"/>
      <c r="B7" s="1"/>
    </row>
    <row r="8" spans="1:9" ht="70.5" customHeight="1">
      <c r="A8" s="5" t="s">
        <v>4</v>
      </c>
      <c r="B8" s="5" t="s">
        <v>5</v>
      </c>
      <c r="C8" s="6" t="s">
        <v>6</v>
      </c>
      <c r="D8" s="7" t="s">
        <v>7</v>
      </c>
      <c r="E8" s="7" t="s">
        <v>8</v>
      </c>
      <c r="F8" s="7" t="s">
        <v>9</v>
      </c>
      <c r="G8" s="7" t="s">
        <v>10</v>
      </c>
      <c r="H8" s="8" t="s">
        <v>11</v>
      </c>
      <c r="I8" s="9" t="s">
        <v>12</v>
      </c>
    </row>
    <row r="9" spans="1:9" ht="19.5" customHeight="1">
      <c r="A9" s="10"/>
      <c r="B9" s="10" t="s">
        <v>13</v>
      </c>
      <c r="C9" s="11" t="e">
        <f t="shared" ref="C9:H9" si="0">+C10+C16+C22+C26+C33+C11</f>
        <v>#N/A</v>
      </c>
      <c r="D9" s="11" t="e">
        <f t="shared" si="0"/>
        <v>#N/A</v>
      </c>
      <c r="E9" s="11" t="e">
        <f t="shared" si="0"/>
        <v>#N/A</v>
      </c>
      <c r="F9" s="11" t="e">
        <f t="shared" si="0"/>
        <v>#N/A</v>
      </c>
      <c r="G9" s="11" t="e">
        <f t="shared" si="0"/>
        <v>#N/A</v>
      </c>
      <c r="H9" s="12" t="e">
        <f t="shared" si="0"/>
        <v>#N/A</v>
      </c>
      <c r="I9" s="13" t="e">
        <f t="shared" ref="I9:I37" si="1">+H9/C9</f>
        <v>#N/A</v>
      </c>
    </row>
    <row r="10" spans="1:9" ht="19.5" customHeight="1">
      <c r="A10" s="14" t="s">
        <v>14</v>
      </c>
      <c r="B10" s="15" t="s">
        <v>15</v>
      </c>
      <c r="C10" s="16"/>
      <c r="D10" s="17"/>
      <c r="E10" s="17"/>
      <c r="F10" s="17"/>
      <c r="G10" s="17"/>
      <c r="H10" s="18"/>
      <c r="I10" s="19"/>
    </row>
    <row r="11" spans="1:9" ht="18" customHeight="1">
      <c r="A11" s="14" t="s">
        <v>16</v>
      </c>
      <c r="B11" s="20" t="s">
        <v>17</v>
      </c>
      <c r="C11" s="21">
        <f t="shared" ref="C11:H11" si="2">SUM(C12:C15)</f>
        <v>0</v>
      </c>
      <c r="D11" s="22">
        <f t="shared" si="2"/>
        <v>0</v>
      </c>
      <c r="E11" s="22">
        <f t="shared" si="2"/>
        <v>0</v>
      </c>
      <c r="F11" s="22">
        <f t="shared" si="2"/>
        <v>0</v>
      </c>
      <c r="G11" s="22">
        <f t="shared" si="2"/>
        <v>0</v>
      </c>
      <c r="H11" s="23">
        <f t="shared" si="2"/>
        <v>0</v>
      </c>
      <c r="I11" s="24" t="e">
        <f t="shared" si="1"/>
        <v>#DIV/0!</v>
      </c>
    </row>
    <row r="12" spans="1:9" ht="19.5" customHeight="1">
      <c r="A12" s="25">
        <v>1</v>
      </c>
      <c r="B12" s="26" t="s">
        <v>18</v>
      </c>
      <c r="C12" s="27">
        <f>TKMB!D8</f>
        <v>0</v>
      </c>
      <c r="D12" s="28">
        <f>TKMB!G8</f>
        <v>0</v>
      </c>
      <c r="E12" s="28">
        <f>TKMB!H8</f>
        <v>0</v>
      </c>
      <c r="F12" s="28">
        <f>TKMB!I8</f>
        <v>0</v>
      </c>
      <c r="G12" s="28">
        <f>TKMB!J8</f>
        <v>0</v>
      </c>
      <c r="H12" s="28">
        <f>TKMB!K8</f>
        <v>0</v>
      </c>
      <c r="I12" s="29" t="e">
        <f t="shared" si="1"/>
        <v>#DIV/0!</v>
      </c>
    </row>
    <row r="13" spans="1:9" ht="19.5" customHeight="1">
      <c r="A13" s="25">
        <v>2</v>
      </c>
      <c r="B13" s="26" t="s">
        <v>19</v>
      </c>
      <c r="C13" s="27">
        <f>TKHP!D8</f>
        <v>0</v>
      </c>
      <c r="D13" s="28">
        <f>TKHP!G8</f>
        <v>0</v>
      </c>
      <c r="E13" s="28">
        <f>TKHP!H8</f>
        <v>0</v>
      </c>
      <c r="F13" s="28">
        <f>TKHP!I8</f>
        <v>0</v>
      </c>
      <c r="G13" s="28">
        <f>TKHP!J8</f>
        <v>0</v>
      </c>
      <c r="H13" s="28">
        <f>TKHP!K8</f>
        <v>0</v>
      </c>
      <c r="I13" s="29" t="e">
        <f t="shared" si="1"/>
        <v>#DIV/0!</v>
      </c>
    </row>
    <row r="14" spans="1:9" ht="19.5" customHeight="1">
      <c r="A14" s="25">
        <v>3</v>
      </c>
      <c r="B14" s="26" t="s">
        <v>20</v>
      </c>
      <c r="C14" s="27"/>
      <c r="D14" s="28"/>
      <c r="E14" s="28"/>
      <c r="F14" s="28"/>
      <c r="G14" s="28"/>
      <c r="H14" s="30"/>
      <c r="I14" s="29"/>
    </row>
    <row r="15" spans="1:9" ht="19.5" customHeight="1">
      <c r="A15" s="25">
        <v>4</v>
      </c>
      <c r="B15" s="26" t="s">
        <v>21</v>
      </c>
      <c r="C15" s="27"/>
      <c r="D15" s="28"/>
      <c r="E15" s="28"/>
      <c r="F15" s="28"/>
      <c r="G15" s="28"/>
      <c r="H15" s="30"/>
      <c r="I15" s="29"/>
    </row>
    <row r="16" spans="1:9" ht="19.5" customHeight="1">
      <c r="A16" s="14" t="s">
        <v>22</v>
      </c>
      <c r="B16" s="15" t="s">
        <v>23</v>
      </c>
      <c r="C16" s="16" t="e">
        <f t="shared" ref="C16:H16" si="3">SUM(C17:C21)</f>
        <v>#N/A</v>
      </c>
      <c r="D16" s="17" t="e">
        <f t="shared" si="3"/>
        <v>#N/A</v>
      </c>
      <c r="E16" s="17" t="e">
        <f t="shared" si="3"/>
        <v>#N/A</v>
      </c>
      <c r="F16" s="17" t="e">
        <f t="shared" si="3"/>
        <v>#N/A</v>
      </c>
      <c r="G16" s="17" t="e">
        <f t="shared" si="3"/>
        <v>#N/A</v>
      </c>
      <c r="H16" s="18" t="e">
        <f t="shared" si="3"/>
        <v>#N/A</v>
      </c>
      <c r="I16" s="19" t="e">
        <f t="shared" si="1"/>
        <v>#N/A</v>
      </c>
    </row>
    <row r="17" spans="1:11" ht="19.5" customHeight="1">
      <c r="A17" s="25">
        <v>1</v>
      </c>
      <c r="B17" s="26" t="s">
        <v>24</v>
      </c>
      <c r="C17" s="27" t="e">
        <v>#N/A</v>
      </c>
      <c r="D17" s="28" t="e">
        <f>VLOOKUP("A",CNMB!$A$8:$K$1000,7,0)</f>
        <v>#N/A</v>
      </c>
      <c r="E17" s="28" t="e">
        <f>VLOOKUP("A",CNMB!$A$8:$K$1000,8,0)</f>
        <v>#N/A</v>
      </c>
      <c r="F17" s="28" t="e">
        <f>VLOOKUP("A",CNMB!$A$8:$K$1000,9,0)</f>
        <v>#N/A</v>
      </c>
      <c r="G17" s="28" t="e">
        <f>VLOOKUP("A",CNMB!$A$8:$K$1000,10,0)</f>
        <v>#N/A</v>
      </c>
      <c r="H17" s="28" t="e">
        <f>VLOOKUP("A",CNMB!$A$8:$K$1000,11,0)</f>
        <v>#N/A</v>
      </c>
      <c r="I17" s="29" t="e">
        <f t="shared" si="1"/>
        <v>#N/A</v>
      </c>
      <c r="K17" s="31"/>
    </row>
    <row r="18" spans="1:11" ht="19.5" customHeight="1">
      <c r="A18" s="25">
        <v>2</v>
      </c>
      <c r="B18" s="26" t="s">
        <v>25</v>
      </c>
      <c r="C18" s="27" t="e">
        <f>VLOOKUP("B",CNMB!A$8:K$1000,4,0)</f>
        <v>#N/A</v>
      </c>
      <c r="D18" s="28" t="e">
        <f>VLOOKUP("B",CNMB!$A$8:$K$1000,7,0)</f>
        <v>#N/A</v>
      </c>
      <c r="E18" s="28" t="e">
        <f>VLOOKUP("B",CNMB!$A$8:$K$1000,8,0)</f>
        <v>#N/A</v>
      </c>
      <c r="F18" s="28" t="e">
        <f>VLOOKUP("B",CNMB!$A$8:$K$1000,9,0)</f>
        <v>#N/A</v>
      </c>
      <c r="G18" s="28" t="e">
        <f>VLOOKUP("B",CNMB!$A$8:$K$1000,10,0)</f>
        <v>#N/A</v>
      </c>
      <c r="H18" s="28" t="e">
        <f>VLOOKUP("B",CNMB!$A$8:$K$1000,11,0)</f>
        <v>#N/A</v>
      </c>
      <c r="I18" s="29" t="e">
        <f t="shared" si="1"/>
        <v>#N/A</v>
      </c>
      <c r="K18" s="31"/>
    </row>
    <row r="19" spans="1:11" ht="19.5" customHeight="1">
      <c r="A19" s="25">
        <v>3</v>
      </c>
      <c r="B19" s="26" t="s">
        <v>26</v>
      </c>
      <c r="C19" s="27" t="e">
        <f>VLOOKUP("C",CNMB!A$8:K$1000,4,0)</f>
        <v>#N/A</v>
      </c>
      <c r="D19" s="28" t="e">
        <f>VLOOKUP("C",CNMB!$A$8:$K$1000,7,0)</f>
        <v>#N/A</v>
      </c>
      <c r="E19" s="28" t="e">
        <f>VLOOKUP("C",CNMB!$A$8:$K$1000,8,0)</f>
        <v>#N/A</v>
      </c>
      <c r="F19" s="28" t="e">
        <f>VLOOKUP("C",CNMB!$A$8:$K$1000,9,0)</f>
        <v>#N/A</v>
      </c>
      <c r="G19" s="28" t="e">
        <f>VLOOKUP("C",CNMB!$A$8:$K$1000,10,0)</f>
        <v>#N/A</v>
      </c>
      <c r="H19" s="28" t="e">
        <f>VLOOKUP("C",CNMB!$A$8:$K$1000,11,0)</f>
        <v>#N/A</v>
      </c>
      <c r="I19" s="29" t="e">
        <f t="shared" si="1"/>
        <v>#N/A</v>
      </c>
      <c r="K19" s="31"/>
    </row>
    <row r="20" spans="1:11" ht="19.5" customHeight="1">
      <c r="A20" s="25">
        <v>4</v>
      </c>
      <c r="B20" s="26" t="s">
        <v>27</v>
      </c>
      <c r="C20" s="27" t="e">
        <f>VLOOKUP("D",CNMB!A$8:K$1000,4,0)</f>
        <v>#N/A</v>
      </c>
      <c r="D20" s="28" t="e">
        <f>VLOOKUP("D",CNMB!$A$8:$K$1000,7,0)</f>
        <v>#N/A</v>
      </c>
      <c r="E20" s="28" t="e">
        <f>VLOOKUP("D",CNMB!$A$8:$K$1000,8,0)</f>
        <v>#N/A</v>
      </c>
      <c r="F20" s="28" t="e">
        <f>VLOOKUP("D",CNMB!$A$8:$K$1000,9,0)</f>
        <v>#N/A</v>
      </c>
      <c r="G20" s="28" t="e">
        <f>VLOOKUP("D",CNMB!$A$8:$K$1000,10,0)</f>
        <v>#N/A</v>
      </c>
      <c r="H20" s="28" t="e">
        <f>VLOOKUP("D",CNMB!$A$8:$K$1000,11,0)</f>
        <v>#N/A</v>
      </c>
      <c r="I20" s="29" t="e">
        <f t="shared" si="1"/>
        <v>#N/A</v>
      </c>
      <c r="K20" s="31"/>
    </row>
    <row r="21" spans="1:11" ht="19.5" customHeight="1">
      <c r="A21" s="25">
        <v>5</v>
      </c>
      <c r="B21" s="26" t="s">
        <v>28</v>
      </c>
      <c r="C21" s="27" t="e">
        <f>VLOOKUP("E",CNMB!A$8:K$1000,4,0)</f>
        <v>#N/A</v>
      </c>
      <c r="D21" s="28" t="e">
        <f>VLOOKUP("E",CNMB!$A$8:$K$1000,7,0)</f>
        <v>#N/A</v>
      </c>
      <c r="E21" s="28" t="e">
        <f>VLOOKUP("E",CNMB!$A$8:$K$1000,8,0)</f>
        <v>#N/A</v>
      </c>
      <c r="F21" s="28" t="e">
        <f>VLOOKUP("E",CNMB!$A$8:$K$1000,9,0)</f>
        <v>#N/A</v>
      </c>
      <c r="G21" s="28" t="e">
        <f>VLOOKUP("E",CNMB!$A$8:$K$1000,10,0)</f>
        <v>#N/A</v>
      </c>
      <c r="H21" s="28" t="e">
        <f>VLOOKUP("E",CNMB!$A$8:$K$1000,11,0)</f>
        <v>#N/A</v>
      </c>
      <c r="I21" s="29" t="e">
        <f t="shared" si="1"/>
        <v>#N/A</v>
      </c>
      <c r="K21" s="31"/>
    </row>
    <row r="22" spans="1:11" ht="19.5" hidden="1" customHeight="1">
      <c r="A22" s="14" t="s">
        <v>29</v>
      </c>
      <c r="B22" s="15" t="s">
        <v>30</v>
      </c>
      <c r="C22" s="16" t="e">
        <f t="shared" ref="C22:H22" si="4">SUM(C23:C25)</f>
        <v>#REF!</v>
      </c>
      <c r="D22" s="17" t="e">
        <f t="shared" si="4"/>
        <v>#REF!</v>
      </c>
      <c r="E22" s="17" t="e">
        <f t="shared" si="4"/>
        <v>#REF!</v>
      </c>
      <c r="F22" s="17" t="e">
        <f t="shared" si="4"/>
        <v>#REF!</v>
      </c>
      <c r="G22" s="17" t="e">
        <f t="shared" si="4"/>
        <v>#REF!</v>
      </c>
      <c r="H22" s="18" t="e">
        <f t="shared" si="4"/>
        <v>#REF!</v>
      </c>
      <c r="I22" s="19" t="e">
        <f t="shared" si="1"/>
        <v>#REF!</v>
      </c>
    </row>
    <row r="23" spans="1:11" ht="19.5" hidden="1" customHeight="1">
      <c r="A23" s="25">
        <v>1</v>
      </c>
      <c r="B23" s="26" t="s">
        <v>31</v>
      </c>
      <c r="C23" s="27" t="e">
        <f>+#REF!</f>
        <v>#REF!</v>
      </c>
      <c r="D23" s="28" t="e">
        <f>+#REF!</f>
        <v>#REF!</v>
      </c>
      <c r="E23" s="28" t="e">
        <f>+#REF!</f>
        <v>#REF!</v>
      </c>
      <c r="F23" s="28" t="e">
        <f>+#REF!</f>
        <v>#REF!</v>
      </c>
      <c r="G23" s="28" t="e">
        <f>+#REF!</f>
        <v>#REF!</v>
      </c>
      <c r="H23" s="30" t="e">
        <f>+#REF!</f>
        <v>#REF!</v>
      </c>
      <c r="I23" s="29" t="e">
        <f t="shared" si="1"/>
        <v>#REF!</v>
      </c>
    </row>
    <row r="24" spans="1:11" ht="19.5" hidden="1" customHeight="1">
      <c r="A24" s="25">
        <v>2</v>
      </c>
      <c r="B24" s="26" t="s">
        <v>32</v>
      </c>
      <c r="C24" s="27" t="e">
        <f>+#REF!</f>
        <v>#REF!</v>
      </c>
      <c r="D24" s="28" t="e">
        <f>+#REF!</f>
        <v>#REF!</v>
      </c>
      <c r="E24" s="28" t="e">
        <f>+#REF!</f>
        <v>#REF!</v>
      </c>
      <c r="F24" s="28" t="e">
        <f>+#REF!</f>
        <v>#REF!</v>
      </c>
      <c r="G24" s="28" t="e">
        <f>+#REF!</f>
        <v>#REF!</v>
      </c>
      <c r="H24" s="30" t="e">
        <f>+#REF!</f>
        <v>#REF!</v>
      </c>
      <c r="I24" s="29" t="e">
        <f t="shared" si="1"/>
        <v>#REF!</v>
      </c>
    </row>
    <row r="25" spans="1:11" ht="19.5" hidden="1" customHeight="1">
      <c r="A25" s="25">
        <v>3</v>
      </c>
      <c r="B25" s="26" t="s">
        <v>33</v>
      </c>
      <c r="C25" s="27" t="e">
        <f>+#REF!</f>
        <v>#REF!</v>
      </c>
      <c r="D25" s="28" t="e">
        <f>+#REF!</f>
        <v>#REF!</v>
      </c>
      <c r="E25" s="28" t="e">
        <f>+#REF!</f>
        <v>#REF!</v>
      </c>
      <c r="F25" s="28" t="e">
        <f>+#REF!</f>
        <v>#REF!</v>
      </c>
      <c r="G25" s="28" t="e">
        <f>+#REF!</f>
        <v>#REF!</v>
      </c>
      <c r="H25" s="30" t="e">
        <f>+#REF!</f>
        <v>#REF!</v>
      </c>
      <c r="I25" s="29" t="e">
        <f t="shared" si="1"/>
        <v>#REF!</v>
      </c>
    </row>
    <row r="26" spans="1:11" ht="19.5" hidden="1" customHeight="1">
      <c r="A26" s="14" t="s">
        <v>34</v>
      </c>
      <c r="B26" s="15" t="s">
        <v>35</v>
      </c>
      <c r="C26" s="21" t="e">
        <f t="shared" ref="C26:H26" si="5">SUM(C27:C32)</f>
        <v>#REF!</v>
      </c>
      <c r="D26" s="17" t="e">
        <f t="shared" si="5"/>
        <v>#REF!</v>
      </c>
      <c r="E26" s="17" t="e">
        <f t="shared" si="5"/>
        <v>#REF!</v>
      </c>
      <c r="F26" s="17" t="e">
        <f t="shared" si="5"/>
        <v>#REF!</v>
      </c>
      <c r="G26" s="17" t="e">
        <f t="shared" si="5"/>
        <v>#REF!</v>
      </c>
      <c r="H26" s="18" t="e">
        <f t="shared" si="5"/>
        <v>#REF!</v>
      </c>
      <c r="I26" s="19" t="e">
        <f t="shared" si="1"/>
        <v>#REF!</v>
      </c>
    </row>
    <row r="27" spans="1:11" ht="19.5" hidden="1" customHeight="1">
      <c r="A27" s="25">
        <v>1</v>
      </c>
      <c r="B27" s="26" t="s">
        <v>36</v>
      </c>
      <c r="C27" s="27" t="e">
        <f>+#REF!</f>
        <v>#REF!</v>
      </c>
      <c r="D27" s="28" t="e">
        <f>+#REF!</f>
        <v>#REF!</v>
      </c>
      <c r="E27" s="28" t="e">
        <f>+#REF!</f>
        <v>#REF!</v>
      </c>
      <c r="F27" s="28" t="e">
        <f>+#REF!</f>
        <v>#REF!</v>
      </c>
      <c r="G27" s="28" t="e">
        <f>+#REF!</f>
        <v>#REF!</v>
      </c>
      <c r="H27" s="30" t="e">
        <f>+#REF!</f>
        <v>#REF!</v>
      </c>
      <c r="I27" s="29" t="e">
        <f t="shared" si="1"/>
        <v>#REF!</v>
      </c>
    </row>
    <row r="28" spans="1:11" ht="19.5" hidden="1" customHeight="1">
      <c r="A28" s="25">
        <v>2</v>
      </c>
      <c r="B28" s="26" t="s">
        <v>37</v>
      </c>
      <c r="C28" s="27" t="e">
        <f>+#REF!</f>
        <v>#REF!</v>
      </c>
      <c r="D28" s="28" t="e">
        <f>+#REF!</f>
        <v>#REF!</v>
      </c>
      <c r="E28" s="28" t="e">
        <f>+#REF!</f>
        <v>#REF!</v>
      </c>
      <c r="F28" s="28" t="e">
        <f>+#REF!</f>
        <v>#REF!</v>
      </c>
      <c r="G28" s="28" t="e">
        <f>+#REF!</f>
        <v>#REF!</v>
      </c>
      <c r="H28" s="30" t="e">
        <f>+#REF!</f>
        <v>#REF!</v>
      </c>
      <c r="I28" s="29" t="e">
        <f t="shared" si="1"/>
        <v>#REF!</v>
      </c>
    </row>
    <row r="29" spans="1:11" ht="19.5" hidden="1" customHeight="1">
      <c r="A29" s="25">
        <v>3</v>
      </c>
      <c r="B29" s="26" t="s">
        <v>38</v>
      </c>
      <c r="C29" s="27" t="e">
        <f>+#REF!</f>
        <v>#REF!</v>
      </c>
      <c r="D29" s="28" t="e">
        <f>+#REF!</f>
        <v>#REF!</v>
      </c>
      <c r="E29" s="28" t="e">
        <f>+#REF!</f>
        <v>#REF!</v>
      </c>
      <c r="F29" s="28" t="e">
        <f>+#REF!</f>
        <v>#REF!</v>
      </c>
      <c r="G29" s="28" t="e">
        <f>+#REF!</f>
        <v>#REF!</v>
      </c>
      <c r="H29" s="30" t="e">
        <f>+#REF!</f>
        <v>#REF!</v>
      </c>
      <c r="I29" s="29" t="e">
        <f t="shared" si="1"/>
        <v>#REF!</v>
      </c>
    </row>
    <row r="30" spans="1:11" ht="19.5" hidden="1" customHeight="1">
      <c r="A30" s="25">
        <v>4</v>
      </c>
      <c r="B30" s="26" t="s">
        <v>39</v>
      </c>
      <c r="C30" s="27" t="e">
        <f>+#REF!</f>
        <v>#REF!</v>
      </c>
      <c r="D30" s="28" t="e">
        <f>+#REF!</f>
        <v>#REF!</v>
      </c>
      <c r="E30" s="28" t="e">
        <f>+#REF!</f>
        <v>#REF!</v>
      </c>
      <c r="F30" s="28" t="e">
        <f>+#REF!</f>
        <v>#REF!</v>
      </c>
      <c r="G30" s="28" t="e">
        <f>+#REF!</f>
        <v>#REF!</v>
      </c>
      <c r="H30" s="30" t="e">
        <f>+#REF!</f>
        <v>#REF!</v>
      </c>
      <c r="I30" s="29" t="e">
        <f t="shared" si="1"/>
        <v>#REF!</v>
      </c>
    </row>
    <row r="31" spans="1:11" ht="19.5" hidden="1" customHeight="1">
      <c r="A31" s="25">
        <v>5</v>
      </c>
      <c r="B31" s="26" t="s">
        <v>40</v>
      </c>
      <c r="C31" s="27" t="e">
        <f>+#REF!</f>
        <v>#REF!</v>
      </c>
      <c r="D31" s="28" t="e">
        <f>+#REF!</f>
        <v>#REF!</v>
      </c>
      <c r="E31" s="28" t="e">
        <f>+#REF!</f>
        <v>#REF!</v>
      </c>
      <c r="F31" s="28" t="e">
        <f>+#REF!</f>
        <v>#REF!</v>
      </c>
      <c r="G31" s="28" t="e">
        <f>+#REF!</f>
        <v>#REF!</v>
      </c>
      <c r="H31" s="30" t="e">
        <f>+#REF!</f>
        <v>#REF!</v>
      </c>
      <c r="I31" s="29" t="e">
        <f t="shared" si="1"/>
        <v>#REF!</v>
      </c>
    </row>
    <row r="32" spans="1:11" ht="19.5" hidden="1" customHeight="1">
      <c r="A32" s="25">
        <v>6</v>
      </c>
      <c r="B32" s="26" t="s">
        <v>41</v>
      </c>
      <c r="C32" s="27" t="e">
        <f>+#REF!</f>
        <v>#REF!</v>
      </c>
      <c r="D32" s="28" t="e">
        <f>+#REF!</f>
        <v>#REF!</v>
      </c>
      <c r="E32" s="28" t="e">
        <f>+#REF!</f>
        <v>#REF!</v>
      </c>
      <c r="F32" s="28" t="e">
        <f>+#REF!</f>
        <v>#REF!</v>
      </c>
      <c r="G32" s="28" t="e">
        <f>+#REF!</f>
        <v>#REF!</v>
      </c>
      <c r="H32" s="30" t="e">
        <f>+#REF!</f>
        <v>#REF!</v>
      </c>
      <c r="I32" s="29" t="e">
        <f t="shared" si="1"/>
        <v>#REF!</v>
      </c>
    </row>
    <row r="33" spans="1:9" ht="19.5" hidden="1" customHeight="1">
      <c r="A33" s="14" t="s">
        <v>42</v>
      </c>
      <c r="B33" s="20" t="s">
        <v>43</v>
      </c>
      <c r="C33" s="21" t="e">
        <f t="shared" ref="C33:H33" si="6">SUM(C34:C37)</f>
        <v>#REF!</v>
      </c>
      <c r="D33" s="17" t="e">
        <f t="shared" si="6"/>
        <v>#REF!</v>
      </c>
      <c r="E33" s="17" t="e">
        <f t="shared" si="6"/>
        <v>#REF!</v>
      </c>
      <c r="F33" s="17" t="e">
        <f t="shared" si="6"/>
        <v>#REF!</v>
      </c>
      <c r="G33" s="17" t="e">
        <f t="shared" si="6"/>
        <v>#REF!</v>
      </c>
      <c r="H33" s="18" t="e">
        <f t="shared" si="6"/>
        <v>#REF!</v>
      </c>
      <c r="I33" s="19" t="e">
        <f t="shared" si="1"/>
        <v>#REF!</v>
      </c>
    </row>
    <row r="34" spans="1:9" ht="19.5" hidden="1" customHeight="1">
      <c r="A34" s="25">
        <v>1</v>
      </c>
      <c r="B34" s="32" t="s">
        <v>44</v>
      </c>
      <c r="C34" s="27" t="e">
        <f>+#REF!</f>
        <v>#REF!</v>
      </c>
      <c r="D34" s="28" t="e">
        <f>#REF!</f>
        <v>#REF!</v>
      </c>
      <c r="E34" s="28" t="e">
        <f>#REF!</f>
        <v>#REF!</v>
      </c>
      <c r="F34" s="28" t="e">
        <f>#REF!</f>
        <v>#REF!</v>
      </c>
      <c r="G34" s="28" t="e">
        <f>#REF!</f>
        <v>#REF!</v>
      </c>
      <c r="H34" s="30" t="e">
        <f>#REF!</f>
        <v>#REF!</v>
      </c>
      <c r="I34" s="29" t="e">
        <f t="shared" si="1"/>
        <v>#REF!</v>
      </c>
    </row>
    <row r="35" spans="1:9" ht="19.5" hidden="1" customHeight="1">
      <c r="A35" s="25">
        <v>2</v>
      </c>
      <c r="B35" s="32" t="s">
        <v>45</v>
      </c>
      <c r="C35" s="27" t="e">
        <f>+#REF!</f>
        <v>#REF!</v>
      </c>
      <c r="D35" s="28" t="e">
        <f>+#REF!</f>
        <v>#REF!</v>
      </c>
      <c r="E35" s="28" t="e">
        <f>+#REF!</f>
        <v>#REF!</v>
      </c>
      <c r="F35" s="28" t="e">
        <f>+#REF!</f>
        <v>#REF!</v>
      </c>
      <c r="G35" s="28" t="e">
        <f>+#REF!</f>
        <v>#REF!</v>
      </c>
      <c r="H35" s="30" t="e">
        <f>+#REF!</f>
        <v>#REF!</v>
      </c>
      <c r="I35" s="29" t="e">
        <f t="shared" si="1"/>
        <v>#REF!</v>
      </c>
    </row>
    <row r="36" spans="1:9" ht="19.5" hidden="1" customHeight="1">
      <c r="A36" s="25">
        <v>3</v>
      </c>
      <c r="B36" s="32" t="s">
        <v>46</v>
      </c>
      <c r="C36" s="27" t="e">
        <f>+#REF!</f>
        <v>#REF!</v>
      </c>
      <c r="D36" s="28" t="e">
        <f>+#REF!</f>
        <v>#REF!</v>
      </c>
      <c r="E36" s="28" t="e">
        <f>+#REF!</f>
        <v>#REF!</v>
      </c>
      <c r="F36" s="28" t="e">
        <f>+#REF!</f>
        <v>#REF!</v>
      </c>
      <c r="G36" s="28" t="e">
        <f>+#REF!</f>
        <v>#REF!</v>
      </c>
      <c r="H36" s="30" t="e">
        <f>+#REF!</f>
        <v>#REF!</v>
      </c>
      <c r="I36" s="29" t="e">
        <f t="shared" si="1"/>
        <v>#REF!</v>
      </c>
    </row>
    <row r="37" spans="1:9" ht="19.5" hidden="1" customHeight="1">
      <c r="A37" s="33">
        <v>4</v>
      </c>
      <c r="B37" s="34" t="s">
        <v>47</v>
      </c>
      <c r="C37" s="27" t="e">
        <f>+#REF!</f>
        <v>#REF!</v>
      </c>
      <c r="D37" s="28" t="e">
        <f>+#REF!</f>
        <v>#REF!</v>
      </c>
      <c r="E37" s="28" t="e">
        <f>+#REF!</f>
        <v>#REF!</v>
      </c>
      <c r="F37" s="28" t="e">
        <f>+#REF!</f>
        <v>#REF!</v>
      </c>
      <c r="G37" s="28" t="e">
        <f>+#REF!</f>
        <v>#REF!</v>
      </c>
      <c r="H37" s="30" t="e">
        <f>+#REF!</f>
        <v>#REF!</v>
      </c>
      <c r="I37" s="29" t="e">
        <f t="shared" si="1"/>
        <v>#REF!</v>
      </c>
    </row>
    <row r="38" spans="1:9" ht="14.25" hidden="1" customHeight="1">
      <c r="A38" s="35"/>
      <c r="B38" s="36"/>
      <c r="I38" s="1"/>
    </row>
    <row r="39" spans="1:9" ht="14.25" customHeight="1">
      <c r="A39" s="35"/>
      <c r="B39" s="36"/>
    </row>
    <row r="40" spans="1:9" ht="27" customHeight="1">
      <c r="A40" s="35"/>
      <c r="B40" s="36"/>
    </row>
    <row r="41" spans="1:9" ht="14.25" customHeight="1">
      <c r="A41" s="1"/>
      <c r="B41" s="1"/>
    </row>
    <row r="42" spans="1:9" ht="14.25" customHeight="1">
      <c r="A42" s="1"/>
      <c r="B42" s="1"/>
    </row>
    <row r="43" spans="1:9" ht="14.25" customHeight="1">
      <c r="A43" s="1"/>
      <c r="B43" s="1"/>
    </row>
    <row r="44" spans="1:9" ht="14.25" customHeight="1">
      <c r="A44" s="1"/>
      <c r="B44" s="1"/>
    </row>
    <row r="45" spans="1:9" ht="14.25" customHeight="1">
      <c r="A45" s="1"/>
      <c r="B45" s="1"/>
    </row>
    <row r="46" spans="1:9" ht="14.25" customHeight="1">
      <c r="A46" s="1"/>
      <c r="B46" s="1"/>
    </row>
    <row r="47" spans="1:9" ht="14.25" customHeight="1">
      <c r="A47" s="1"/>
      <c r="B47" s="1"/>
    </row>
    <row r="48" spans="1:9" ht="14.25" customHeight="1">
      <c r="A48" s="1"/>
      <c r="B48" s="1"/>
    </row>
    <row r="49" spans="1:2" ht="14.25" customHeight="1">
      <c r="A49" s="1"/>
      <c r="B49" s="1"/>
    </row>
    <row r="50" spans="1:2" ht="14.25" customHeight="1">
      <c r="A50" s="1"/>
      <c r="B50" s="1"/>
    </row>
    <row r="51" spans="1:2" ht="14.25" customHeight="1">
      <c r="A51" s="1"/>
      <c r="B51" s="1"/>
    </row>
    <row r="52" spans="1:2" ht="14.25" customHeight="1">
      <c r="A52" s="1"/>
      <c r="B52" s="1"/>
    </row>
    <row r="53" spans="1:2" ht="14.25" customHeight="1">
      <c r="A53" s="1"/>
      <c r="B53" s="1"/>
    </row>
    <row r="54" spans="1:2" ht="14.25" customHeight="1">
      <c r="A54" s="1"/>
      <c r="B54" s="1"/>
    </row>
    <row r="55" spans="1:2" ht="14.25" customHeight="1">
      <c r="A55" s="1"/>
      <c r="B55" s="1"/>
    </row>
    <row r="56" spans="1:2" ht="14.25" customHeight="1">
      <c r="A56" s="1"/>
      <c r="B56" s="1"/>
    </row>
    <row r="57" spans="1:2" ht="14.25" customHeight="1">
      <c r="A57" s="1"/>
      <c r="B57" s="1"/>
    </row>
    <row r="58" spans="1:2" ht="14.25" customHeight="1">
      <c r="A58" s="1"/>
      <c r="B58" s="1"/>
    </row>
    <row r="59" spans="1:2" ht="14.25" customHeight="1">
      <c r="A59" s="1"/>
      <c r="B59" s="1"/>
    </row>
    <row r="60" spans="1:2" ht="14.25" customHeight="1">
      <c r="A60" s="1"/>
      <c r="B60" s="1"/>
    </row>
    <row r="61" spans="1:2" ht="14.25" customHeight="1">
      <c r="A61" s="1"/>
      <c r="B61" s="1"/>
    </row>
    <row r="62" spans="1:2" ht="14.25" customHeight="1">
      <c r="A62" s="1"/>
      <c r="B62" s="1"/>
    </row>
    <row r="63" spans="1:2" ht="14.25" customHeight="1">
      <c r="A63" s="1"/>
      <c r="B63" s="1"/>
    </row>
    <row r="64" spans="1:2" ht="14.25" customHeight="1">
      <c r="A64" s="1"/>
      <c r="B64" s="1"/>
    </row>
    <row r="65" spans="1:2" ht="14.25" customHeight="1">
      <c r="A65" s="1"/>
      <c r="B65" s="1"/>
    </row>
    <row r="66" spans="1:2" ht="14.25" customHeight="1">
      <c r="A66" s="1"/>
      <c r="B66" s="1"/>
    </row>
    <row r="67" spans="1:2" ht="14.25" customHeight="1">
      <c r="A67" s="1"/>
      <c r="B67" s="1"/>
    </row>
    <row r="68" spans="1:2" ht="14.25" customHeight="1">
      <c r="A68" s="1"/>
      <c r="B68" s="1"/>
    </row>
    <row r="69" spans="1:2" ht="14.25" customHeight="1">
      <c r="A69" s="1"/>
      <c r="B69" s="1"/>
    </row>
    <row r="70" spans="1:2" ht="14.25" customHeight="1">
      <c r="A70" s="1"/>
      <c r="B70" s="1"/>
    </row>
    <row r="71" spans="1:2" ht="14.25" customHeight="1">
      <c r="A71" s="1"/>
      <c r="B71" s="1"/>
    </row>
    <row r="72" spans="1:2" ht="14.25" customHeight="1">
      <c r="A72" s="1"/>
      <c r="B72" s="1"/>
    </row>
    <row r="73" spans="1:2" ht="14.25" customHeight="1">
      <c r="A73" s="1"/>
      <c r="B73" s="1"/>
    </row>
    <row r="74" spans="1:2" ht="14.25" customHeight="1">
      <c r="A74" s="1"/>
      <c r="B74" s="1"/>
    </row>
    <row r="75" spans="1:2" ht="14.25" customHeight="1">
      <c r="A75" s="1"/>
      <c r="B75" s="1"/>
    </row>
    <row r="76" spans="1:2" ht="14.25" customHeight="1">
      <c r="A76" s="1"/>
      <c r="B76" s="1"/>
    </row>
    <row r="77" spans="1:2" ht="14.25" customHeight="1">
      <c r="A77" s="1"/>
      <c r="B77" s="1"/>
    </row>
    <row r="78" spans="1:2" ht="14.25" customHeight="1">
      <c r="A78" s="1"/>
      <c r="B78" s="1"/>
    </row>
    <row r="79" spans="1:2" ht="14.25" customHeight="1">
      <c r="A79" s="1"/>
      <c r="B79" s="1"/>
    </row>
    <row r="80" spans="1:2" ht="14.25" customHeight="1">
      <c r="A80" s="1"/>
      <c r="B80" s="1"/>
    </row>
    <row r="81" spans="1:2" ht="14.25" customHeight="1">
      <c r="A81" s="1"/>
      <c r="B81" s="1"/>
    </row>
    <row r="82" spans="1:2" ht="14.25" customHeight="1">
      <c r="A82" s="1"/>
      <c r="B82" s="1"/>
    </row>
    <row r="83" spans="1:2" ht="14.25" customHeight="1">
      <c r="A83" s="1"/>
      <c r="B83" s="1"/>
    </row>
    <row r="84" spans="1:2" ht="14.25" customHeight="1">
      <c r="A84" s="1"/>
      <c r="B84" s="1"/>
    </row>
    <row r="85" spans="1:2" ht="14.25" customHeight="1">
      <c r="A85" s="1"/>
      <c r="B85" s="1"/>
    </row>
    <row r="86" spans="1:2" ht="14.25" customHeight="1">
      <c r="A86" s="1"/>
      <c r="B86" s="1"/>
    </row>
    <row r="87" spans="1:2" ht="14.25" customHeight="1">
      <c r="A87" s="1"/>
      <c r="B87" s="1"/>
    </row>
    <row r="88" spans="1:2" ht="14.25" customHeight="1">
      <c r="A88" s="1"/>
      <c r="B88" s="1"/>
    </row>
    <row r="89" spans="1:2" ht="14.25" customHeight="1">
      <c r="A89" s="1"/>
      <c r="B89" s="1"/>
    </row>
    <row r="90" spans="1:2" ht="14.25" customHeight="1">
      <c r="A90" s="1"/>
      <c r="B90" s="1"/>
    </row>
    <row r="91" spans="1:2" ht="14.25" customHeight="1">
      <c r="A91" s="1"/>
      <c r="B91" s="1"/>
    </row>
    <row r="92" spans="1:2" ht="14.25" customHeight="1">
      <c r="A92" s="1"/>
      <c r="B92" s="1"/>
    </row>
    <row r="93" spans="1:2" ht="14.25" customHeight="1">
      <c r="A93" s="1"/>
      <c r="B93" s="1"/>
    </row>
    <row r="94" spans="1:2" ht="14.25" customHeight="1">
      <c r="A94" s="1"/>
      <c r="B94" s="1"/>
    </row>
    <row r="95" spans="1:2" ht="14.25" customHeight="1">
      <c r="A95" s="1"/>
      <c r="B95" s="1"/>
    </row>
    <row r="96" spans="1:2" ht="14.25" customHeight="1">
      <c r="A96" s="1"/>
      <c r="B96" s="1"/>
    </row>
    <row r="97" spans="1:2" ht="14.25" customHeight="1">
      <c r="A97" s="1"/>
      <c r="B97" s="1"/>
    </row>
    <row r="98" spans="1:2" ht="14.25" customHeight="1">
      <c r="A98" s="1"/>
      <c r="B98" s="1"/>
    </row>
    <row r="99" spans="1:2" ht="14.25" customHeight="1">
      <c r="A99" s="1"/>
      <c r="B99" s="1"/>
    </row>
    <row r="100" spans="1:2" ht="14.25" customHeight="1">
      <c r="A100" s="1"/>
      <c r="B100" s="1"/>
    </row>
    <row r="101" spans="1:2" ht="14.25" customHeight="1">
      <c r="A101" s="1"/>
      <c r="B101" s="1"/>
    </row>
    <row r="102" spans="1:2" ht="14.25" customHeight="1">
      <c r="A102" s="1"/>
      <c r="B102" s="1"/>
    </row>
    <row r="103" spans="1:2" ht="14.25" customHeight="1">
      <c r="A103" s="1"/>
      <c r="B103" s="1"/>
    </row>
    <row r="104" spans="1:2" ht="14.25" customHeight="1">
      <c r="A104" s="1"/>
      <c r="B104" s="1"/>
    </row>
    <row r="105" spans="1:2" ht="14.25" customHeight="1">
      <c r="A105" s="1"/>
      <c r="B105" s="1"/>
    </row>
    <row r="106" spans="1:2" ht="14.25" customHeight="1">
      <c r="A106" s="1"/>
      <c r="B106" s="1"/>
    </row>
    <row r="107" spans="1:2" ht="14.25" customHeight="1">
      <c r="A107" s="1"/>
      <c r="B107" s="1"/>
    </row>
    <row r="108" spans="1:2" ht="14.25" customHeight="1">
      <c r="A108" s="1"/>
      <c r="B108" s="1"/>
    </row>
    <row r="109" spans="1:2" ht="14.25" customHeight="1">
      <c r="A109" s="1"/>
      <c r="B109" s="1"/>
    </row>
    <row r="110" spans="1:2" ht="14.25" customHeight="1">
      <c r="A110" s="1"/>
      <c r="B110" s="1"/>
    </row>
    <row r="111" spans="1:2" ht="14.25" customHeight="1">
      <c r="A111" s="1"/>
      <c r="B111" s="1"/>
    </row>
    <row r="112" spans="1:2" ht="14.25" customHeight="1">
      <c r="A112" s="1"/>
      <c r="B112" s="1"/>
    </row>
    <row r="113" spans="1:2" ht="14.25" customHeight="1">
      <c r="A113" s="1"/>
      <c r="B113" s="1"/>
    </row>
    <row r="114" spans="1:2" ht="14.25" customHeight="1">
      <c r="A114" s="1"/>
      <c r="B114" s="1"/>
    </row>
    <row r="115" spans="1:2" ht="14.25" customHeight="1">
      <c r="A115" s="1"/>
      <c r="B115" s="1"/>
    </row>
    <row r="116" spans="1:2" ht="14.25" customHeight="1">
      <c r="A116" s="1"/>
      <c r="B116" s="1"/>
    </row>
    <row r="117" spans="1:2" ht="14.25" customHeight="1">
      <c r="A117" s="1"/>
      <c r="B117" s="1"/>
    </row>
    <row r="118" spans="1:2" ht="14.25" customHeight="1">
      <c r="A118" s="1"/>
      <c r="B118" s="1"/>
    </row>
    <row r="119" spans="1:2" ht="14.25" customHeight="1">
      <c r="A119" s="1"/>
      <c r="B119" s="1"/>
    </row>
    <row r="120" spans="1:2" ht="14.25" customHeight="1">
      <c r="A120" s="1"/>
      <c r="B120" s="1"/>
    </row>
    <row r="121" spans="1:2" ht="14.25" customHeight="1">
      <c r="A121" s="1"/>
      <c r="B121" s="1"/>
    </row>
    <row r="122" spans="1:2" ht="14.25" customHeight="1">
      <c r="A122" s="1"/>
      <c r="B122" s="1"/>
    </row>
    <row r="123" spans="1:2" ht="14.25" customHeight="1">
      <c r="A123" s="1"/>
      <c r="B123" s="1"/>
    </row>
    <row r="124" spans="1:2" ht="14.25" customHeight="1">
      <c r="A124" s="1"/>
      <c r="B124" s="1"/>
    </row>
    <row r="125" spans="1:2" ht="14.25" customHeight="1">
      <c r="A125" s="1"/>
      <c r="B125" s="1"/>
    </row>
    <row r="126" spans="1:2" ht="14.25" customHeight="1">
      <c r="A126" s="1"/>
      <c r="B126" s="1"/>
    </row>
    <row r="127" spans="1:2" ht="14.25" customHeight="1">
      <c r="A127" s="1"/>
      <c r="B127" s="1"/>
    </row>
    <row r="128" spans="1:2" ht="14.25" customHeight="1">
      <c r="A128" s="1"/>
      <c r="B128" s="1"/>
    </row>
    <row r="129" spans="1:2" ht="14.25" customHeight="1">
      <c r="A129" s="1"/>
      <c r="B129" s="1"/>
    </row>
    <row r="130" spans="1:2" ht="14.25" customHeight="1">
      <c r="A130" s="1"/>
      <c r="B130" s="1"/>
    </row>
    <row r="131" spans="1:2" ht="14.25" customHeight="1">
      <c r="A131" s="1"/>
      <c r="B131" s="1"/>
    </row>
    <row r="132" spans="1:2" ht="14.25" customHeight="1">
      <c r="A132" s="1"/>
      <c r="B132" s="1"/>
    </row>
    <row r="133" spans="1:2" ht="14.25" customHeight="1">
      <c r="A133" s="1"/>
      <c r="B133" s="1"/>
    </row>
    <row r="134" spans="1:2" ht="14.25" customHeight="1">
      <c r="A134" s="1"/>
      <c r="B134" s="1"/>
    </row>
    <row r="135" spans="1:2" ht="14.25" customHeight="1">
      <c r="A135" s="1"/>
      <c r="B135" s="1"/>
    </row>
    <row r="136" spans="1:2" ht="14.25" customHeight="1">
      <c r="A136" s="1"/>
      <c r="B136" s="1"/>
    </row>
    <row r="137" spans="1:2" ht="14.25" customHeight="1">
      <c r="A137" s="1"/>
      <c r="B137" s="1"/>
    </row>
    <row r="138" spans="1:2" ht="14.25" customHeight="1">
      <c r="A138" s="1"/>
      <c r="B138" s="1"/>
    </row>
    <row r="139" spans="1:2" ht="14.25" customHeight="1">
      <c r="A139" s="1"/>
      <c r="B139" s="1"/>
    </row>
    <row r="140" spans="1:2" ht="14.25" customHeight="1">
      <c r="A140" s="1"/>
      <c r="B140" s="1"/>
    </row>
    <row r="141" spans="1:2" ht="14.25" customHeight="1">
      <c r="A141" s="1"/>
      <c r="B141" s="1"/>
    </row>
    <row r="142" spans="1:2" ht="14.25" customHeight="1">
      <c r="A142" s="1"/>
      <c r="B142" s="1"/>
    </row>
    <row r="143" spans="1:2" ht="14.25" customHeight="1">
      <c r="A143" s="1"/>
      <c r="B143" s="1"/>
    </row>
    <row r="144" spans="1:2" ht="14.25" customHeight="1">
      <c r="A144" s="1"/>
      <c r="B144" s="1"/>
    </row>
    <row r="145" spans="1:2" ht="14.25" customHeight="1">
      <c r="A145" s="1"/>
      <c r="B145" s="1"/>
    </row>
    <row r="146" spans="1:2" ht="14.25" customHeight="1">
      <c r="A146" s="1"/>
      <c r="B146" s="1"/>
    </row>
    <row r="147" spans="1:2" ht="15.75" customHeight="1">
      <c r="A147" s="1"/>
      <c r="B147" s="1"/>
    </row>
    <row r="148" spans="1:2" ht="15.75" customHeight="1">
      <c r="A148" s="1"/>
      <c r="B148" s="1"/>
    </row>
    <row r="149" spans="1:2" ht="15.75" customHeight="1">
      <c r="A149" s="1"/>
      <c r="B149" s="1"/>
    </row>
    <row r="150" spans="1:2" ht="15.75" customHeight="1">
      <c r="A150" s="1"/>
      <c r="B150" s="1"/>
    </row>
    <row r="151" spans="1:2" ht="15.75" customHeight="1">
      <c r="A151" s="1"/>
      <c r="B151" s="1"/>
    </row>
    <row r="152" spans="1:2" ht="15.75" customHeight="1">
      <c r="A152" s="1"/>
      <c r="B152" s="1"/>
    </row>
    <row r="153" spans="1:2" ht="15.75" customHeight="1">
      <c r="A153" s="1"/>
      <c r="B153" s="1"/>
    </row>
    <row r="154" spans="1:2" ht="15.75" customHeight="1">
      <c r="A154" s="1"/>
      <c r="B154" s="1"/>
    </row>
    <row r="155" spans="1:2" ht="15.75" customHeight="1">
      <c r="A155" s="1"/>
      <c r="B155" s="1"/>
    </row>
    <row r="156" spans="1:2" ht="15.75" customHeight="1">
      <c r="A156" s="1"/>
      <c r="B156" s="1"/>
    </row>
    <row r="157" spans="1:2" ht="15.75" customHeight="1">
      <c r="A157" s="1"/>
      <c r="B157" s="1"/>
    </row>
    <row r="158" spans="1:2" ht="15.75" customHeight="1">
      <c r="A158" s="1"/>
      <c r="B158" s="1"/>
    </row>
    <row r="159" spans="1:2" ht="15.75" customHeight="1">
      <c r="A159" s="1"/>
      <c r="B159" s="1"/>
    </row>
    <row r="160" spans="1:2" ht="15.75" customHeight="1">
      <c r="A160" s="1"/>
      <c r="B160" s="1"/>
    </row>
    <row r="161" spans="1:2" ht="15.75" customHeight="1">
      <c r="A161" s="1"/>
      <c r="B161" s="1"/>
    </row>
    <row r="162" spans="1:2" ht="15.75" customHeight="1">
      <c r="A162" s="1"/>
      <c r="B162" s="1"/>
    </row>
    <row r="163" spans="1:2" ht="15.75" customHeight="1">
      <c r="A163" s="1"/>
      <c r="B163" s="1"/>
    </row>
    <row r="164" spans="1:2" ht="15.75" customHeight="1">
      <c r="A164" s="1"/>
      <c r="B164" s="1"/>
    </row>
    <row r="165" spans="1:2" ht="15.75" customHeight="1">
      <c r="A165" s="1"/>
      <c r="B165" s="1"/>
    </row>
    <row r="166" spans="1:2" ht="15.75" customHeight="1">
      <c r="A166" s="1"/>
      <c r="B166" s="1"/>
    </row>
    <row r="167" spans="1:2" ht="15.75" customHeight="1">
      <c r="A167" s="1"/>
      <c r="B167" s="1"/>
    </row>
    <row r="168" spans="1:2" ht="15.75" customHeight="1">
      <c r="A168" s="1"/>
      <c r="B168" s="1"/>
    </row>
    <row r="169" spans="1:2" ht="15.75" customHeight="1">
      <c r="A169" s="1"/>
      <c r="B169" s="1"/>
    </row>
    <row r="170" spans="1:2" ht="15.75" customHeight="1">
      <c r="A170" s="1"/>
      <c r="B170" s="1"/>
    </row>
    <row r="171" spans="1:2" ht="15.75" customHeight="1">
      <c r="A171" s="1"/>
      <c r="B171" s="1"/>
    </row>
    <row r="172" spans="1:2" ht="15.75" customHeight="1">
      <c r="A172" s="1"/>
      <c r="B172" s="1"/>
    </row>
    <row r="173" spans="1:2" ht="15.75" customHeight="1">
      <c r="A173" s="1"/>
      <c r="B173" s="1"/>
    </row>
    <row r="174" spans="1:2" ht="15.75" customHeight="1">
      <c r="A174" s="1"/>
      <c r="B174" s="1"/>
    </row>
    <row r="175" spans="1:2" ht="15.75" customHeight="1">
      <c r="A175" s="1"/>
      <c r="B175" s="1"/>
    </row>
    <row r="176" spans="1:2" ht="15.75" customHeight="1">
      <c r="A176" s="1"/>
      <c r="B176" s="1"/>
    </row>
    <row r="177" spans="1:2" ht="15.75" customHeight="1">
      <c r="A177" s="1"/>
      <c r="B177" s="1"/>
    </row>
    <row r="178" spans="1:2" ht="15.75" customHeight="1">
      <c r="A178" s="1"/>
      <c r="B178" s="1"/>
    </row>
    <row r="179" spans="1:2" ht="15.75" customHeight="1">
      <c r="A179" s="1"/>
      <c r="B179" s="1"/>
    </row>
    <row r="180" spans="1:2" ht="15.75" customHeight="1">
      <c r="A180" s="1"/>
      <c r="B180" s="1"/>
    </row>
    <row r="181" spans="1:2" ht="15.75" customHeight="1">
      <c r="A181" s="1"/>
      <c r="B181" s="1"/>
    </row>
    <row r="182" spans="1:2" ht="15.75" customHeight="1">
      <c r="A182" s="1"/>
      <c r="B182" s="1"/>
    </row>
    <row r="183" spans="1:2" ht="15.75" customHeight="1">
      <c r="A183" s="1"/>
      <c r="B183" s="1"/>
    </row>
    <row r="184" spans="1:2" ht="15.75" customHeight="1">
      <c r="A184" s="1"/>
      <c r="B184" s="1"/>
    </row>
    <row r="185" spans="1:2" ht="15.75" customHeight="1">
      <c r="A185" s="1"/>
      <c r="B185" s="1"/>
    </row>
    <row r="186" spans="1:2" ht="15.75" customHeight="1">
      <c r="A186" s="1"/>
      <c r="B186" s="1"/>
    </row>
    <row r="187" spans="1:2" ht="15.75" customHeight="1">
      <c r="A187" s="1"/>
      <c r="B187" s="1"/>
    </row>
    <row r="188" spans="1:2" ht="15.75" customHeight="1">
      <c r="A188" s="1"/>
      <c r="B188" s="1"/>
    </row>
    <row r="189" spans="1:2" ht="15.75" customHeight="1">
      <c r="A189" s="1"/>
      <c r="B189" s="1"/>
    </row>
    <row r="190" spans="1:2" ht="15.75" customHeight="1">
      <c r="A190" s="1"/>
      <c r="B190" s="1"/>
    </row>
    <row r="191" spans="1:2" ht="15.75" customHeight="1">
      <c r="A191" s="1"/>
      <c r="B191" s="1"/>
    </row>
    <row r="192" spans="1:2" ht="15.75" customHeight="1">
      <c r="A192" s="1"/>
      <c r="B192" s="1"/>
    </row>
    <row r="193" spans="1:2" ht="15.75" customHeight="1">
      <c r="A193" s="1"/>
      <c r="B193" s="1"/>
    </row>
    <row r="194" spans="1:2" ht="15.75" customHeight="1">
      <c r="A194" s="1"/>
      <c r="B194" s="1"/>
    </row>
    <row r="195" spans="1:2" ht="15.75" customHeight="1">
      <c r="A195" s="1"/>
      <c r="B195" s="1"/>
    </row>
    <row r="196" spans="1:2" ht="15.75" customHeight="1">
      <c r="A196" s="1"/>
      <c r="B196" s="1"/>
    </row>
    <row r="197" spans="1:2" ht="15.75" customHeight="1">
      <c r="A197" s="1"/>
      <c r="B197" s="1"/>
    </row>
    <row r="198" spans="1:2" ht="15.75" customHeight="1">
      <c r="A198" s="1"/>
      <c r="B198" s="1"/>
    </row>
    <row r="199" spans="1:2" ht="15.75" customHeight="1">
      <c r="A199" s="1"/>
      <c r="B199" s="1"/>
    </row>
    <row r="200" spans="1:2" ht="15.75" customHeight="1">
      <c r="A200" s="1"/>
      <c r="B200" s="1"/>
    </row>
    <row r="201" spans="1:2" ht="15.75" customHeight="1">
      <c r="A201" s="1"/>
      <c r="B201" s="1"/>
    </row>
    <row r="202" spans="1:2" ht="15.75" customHeight="1">
      <c r="A202" s="1"/>
      <c r="B202" s="1"/>
    </row>
    <row r="203" spans="1:2" ht="15.75" customHeight="1">
      <c r="A203" s="1"/>
      <c r="B203" s="1"/>
    </row>
    <row r="204" spans="1:2" ht="15.75" customHeight="1">
      <c r="A204" s="1"/>
      <c r="B204" s="1"/>
    </row>
    <row r="205" spans="1:2" ht="15.75" customHeight="1">
      <c r="A205" s="1"/>
      <c r="B205" s="1"/>
    </row>
    <row r="206" spans="1:2" ht="15.75" customHeight="1">
      <c r="A206" s="1"/>
      <c r="B206" s="1"/>
    </row>
    <row r="207" spans="1:2" ht="15.75" customHeight="1">
      <c r="A207" s="1"/>
      <c r="B207" s="1"/>
    </row>
    <row r="208" spans="1:2" ht="15.75" customHeight="1">
      <c r="A208" s="1"/>
      <c r="B208" s="1"/>
    </row>
    <row r="209" spans="1:2" ht="15.75" customHeight="1">
      <c r="A209" s="1"/>
      <c r="B209" s="1"/>
    </row>
    <row r="210" spans="1:2" ht="15.75" customHeight="1"/>
    <row r="211" spans="1:2" ht="15.75" customHeight="1"/>
    <row r="212" spans="1:2" ht="15.75" customHeight="1"/>
    <row r="213" spans="1:2" ht="15.75" customHeight="1"/>
    <row r="214" spans="1:2" ht="15.75" customHeight="1"/>
    <row r="215" spans="1:2" ht="15.75" customHeight="1"/>
    <row r="216" spans="1:2" ht="15.75" customHeight="1"/>
    <row r="217" spans="1:2" ht="15.75" customHeight="1"/>
    <row r="218" spans="1:2" ht="15.75" customHeight="1"/>
    <row r="219" spans="1:2" ht="15.75" customHeight="1"/>
    <row r="220" spans="1:2" ht="15.75" customHeight="1"/>
    <row r="221" spans="1:2" ht="15.75" customHeight="1"/>
    <row r="222" spans="1:2" ht="15.75" customHeight="1"/>
    <row r="223" spans="1:2" ht="15.75" customHeight="1"/>
    <row r="224" spans="1:2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</sheetData>
  <mergeCells count="2">
    <mergeCell ref="A5:H5"/>
    <mergeCell ref="C6:H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CNMB</vt:lpstr>
      <vt:lpstr>TKMB</vt:lpstr>
      <vt:lpstr>TKHP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2026-10-28T14:53:13Z</dcterms:modified>
</cp:coreProperties>
</file>